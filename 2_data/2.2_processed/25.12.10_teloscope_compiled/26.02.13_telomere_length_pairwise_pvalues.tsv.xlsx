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h9_annotation\2_data\2.2_processed\25.12.10_teloscope_compiled\"/>
    </mc:Choice>
  </mc:AlternateContent>
  <xr:revisionPtr revIDLastSave="0" documentId="13_ncr:1_{41602567-1D89-4ACC-B98B-33ACED036706}" xr6:coauthVersionLast="47" xr6:coauthVersionMax="47" xr10:uidLastSave="{00000000-0000-0000-0000-000000000000}"/>
  <bookViews>
    <workbookView xWindow="17085" yWindow="0" windowWidth="17415" windowHeight="20985" xr2:uid="{7B67B03C-DC19-477C-BEFF-07EE108D7790}"/>
  </bookViews>
  <sheets>
    <sheet name="26.02.13_telomere_length_pairwi" sheetId="1" r:id="rId1"/>
  </sheets>
  <definedNames>
    <definedName name="_xlnm._FilterDatabase" localSheetId="0" hidden="1">'26.02.13_telomere_length_pairwi'!$A$1:$Q$56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2" i="1"/>
</calcChain>
</file>

<file path=xl/sharedStrings.xml><?xml version="1.0" encoding="utf-8"?>
<sst xmlns="http://schemas.openxmlformats.org/spreadsheetml/2006/main" count="127" uniqueCount="28">
  <si>
    <t>assembly1</t>
  </si>
  <si>
    <t>assembly2</t>
  </si>
  <si>
    <t>mean1</t>
  </si>
  <si>
    <t>median1</t>
  </si>
  <si>
    <t>sd1</t>
  </si>
  <si>
    <t>min1</t>
  </si>
  <si>
    <t>max1</t>
  </si>
  <si>
    <t>mean2</t>
  </si>
  <si>
    <t>median2</t>
  </si>
  <si>
    <t>sd2</t>
  </si>
  <si>
    <t>min2</t>
  </si>
  <si>
    <t>max2</t>
  </si>
  <si>
    <t>p_value</t>
  </si>
  <si>
    <t>p_adj_BH</t>
  </si>
  <si>
    <t>p_adj_bonf</t>
  </si>
  <si>
    <t>CHM13</t>
  </si>
  <si>
    <t>HG002 mat</t>
  </si>
  <si>
    <t>HG002 pat</t>
  </si>
  <si>
    <t>I002C hap1</t>
  </si>
  <si>
    <t>I002C hap2</t>
  </si>
  <si>
    <t>YAO mat</t>
  </si>
  <si>
    <t>YAO pat</t>
  </si>
  <si>
    <t>RPE1 hap1</t>
  </si>
  <si>
    <t>RPE1 hap2</t>
  </si>
  <si>
    <t>H9 hap1</t>
  </si>
  <si>
    <t>H9 hap2</t>
  </si>
  <si>
    <t>idx</t>
  </si>
  <si>
    <t>median_FC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</si>
</sst>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C8AA-F738-4DA8-8AE9-31803F30B0A7}">
  <sheetPr filterMode="1"/>
  <dimension ref="A1:Q56"/>
  <sheetViews>
    <sheetView tabSelected="1" topLeftCell="B1" workbookViewId="0">
      <selection activeCell="L68" sqref="L68"/>
    </sheetView>
  </sheetViews>
  <sheetFormatPr defaultRowHeight="15" x14ac:dyDescent="0.25"/>
  <sheetData>
    <row r="1" spans="1:17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27</v>
      </c>
    </row>
    <row r="2" spans="1:17" hidden="1" x14ac:dyDescent="0.25">
      <c r="A2">
        <v>41</v>
      </c>
      <c r="B2" t="s">
        <v>20</v>
      </c>
      <c r="C2" t="s">
        <v>21</v>
      </c>
      <c r="D2">
        <v>9.5615869565217295</v>
      </c>
      <c r="E2">
        <v>9.6715</v>
      </c>
      <c r="F2">
        <v>2.9252642317581898</v>
      </c>
      <c r="G2">
        <v>4.1639999999999997</v>
      </c>
      <c r="H2">
        <v>17.995000000000001</v>
      </c>
      <c r="I2">
        <v>8.3163255813953398</v>
      </c>
      <c r="J2">
        <v>7.9710000000000001</v>
      </c>
      <c r="K2">
        <v>2.0095733463424499</v>
      </c>
      <c r="L2">
        <v>3.073</v>
      </c>
      <c r="M2">
        <v>13.186999999999999</v>
      </c>
      <c r="N2">
        <v>3.81641485969978E-2</v>
      </c>
      <c r="O2">
        <v>4.6645070507441697E-2</v>
      </c>
      <c r="P2">
        <v>1</v>
      </c>
      <c r="Q2">
        <f>J2/E2</f>
        <v>0.82417411983663347</v>
      </c>
    </row>
    <row r="3" spans="1:17" hidden="1" x14ac:dyDescent="0.25">
      <c r="A3">
        <v>42</v>
      </c>
      <c r="B3" t="s">
        <v>20</v>
      </c>
      <c r="C3" t="s">
        <v>22</v>
      </c>
      <c r="D3">
        <v>9.5615869565217295</v>
      </c>
      <c r="E3">
        <v>9.6715</v>
      </c>
      <c r="F3">
        <v>2.9252642317581898</v>
      </c>
      <c r="G3">
        <v>4.1639999999999997</v>
      </c>
      <c r="H3">
        <v>17.995000000000001</v>
      </c>
      <c r="I3">
        <v>4.78884210526315</v>
      </c>
      <c r="J3">
        <v>4.7675000000000001</v>
      </c>
      <c r="K3">
        <v>1.0196208496780299</v>
      </c>
      <c r="L3">
        <v>2.6259999999999999</v>
      </c>
      <c r="M3">
        <v>6.7480000000000002</v>
      </c>
      <c r="N3" s="1">
        <v>3.50307336683929E-12</v>
      </c>
      <c r="O3" s="1">
        <v>7.7067614070464493E-12</v>
      </c>
      <c r="P3" s="1">
        <v>1.9266903517616099E-10</v>
      </c>
      <c r="Q3">
        <f>J3/E3</f>
        <v>0.4929431835806235</v>
      </c>
    </row>
    <row r="4" spans="1:17" hidden="1" x14ac:dyDescent="0.25">
      <c r="A4">
        <v>43</v>
      </c>
      <c r="B4" t="s">
        <v>20</v>
      </c>
      <c r="C4" t="s">
        <v>23</v>
      </c>
      <c r="D4">
        <v>9.5615869565217295</v>
      </c>
      <c r="E4">
        <v>9.6715</v>
      </c>
      <c r="F4">
        <v>2.9252642317581898</v>
      </c>
      <c r="G4">
        <v>4.1639999999999997</v>
      </c>
      <c r="H4">
        <v>17.995000000000001</v>
      </c>
      <c r="I4">
        <v>4.8197435897435899</v>
      </c>
      <c r="J4">
        <v>4.6429999999999998</v>
      </c>
      <c r="K4">
        <v>0.872793148398884</v>
      </c>
      <c r="L4">
        <v>3.1739999999999999</v>
      </c>
      <c r="M4">
        <v>7.0510000000000002</v>
      </c>
      <c r="N4" s="1">
        <v>1.46858603004838E-12</v>
      </c>
      <c r="O4" s="1">
        <v>3.6714650751209496E-12</v>
      </c>
      <c r="P4" s="1">
        <v>8.0772231652660895E-11</v>
      </c>
      <c r="Q4">
        <f>J4/E4</f>
        <v>0.48007030967274983</v>
      </c>
    </row>
    <row r="5" spans="1:17" x14ac:dyDescent="0.25">
      <c r="A5">
        <v>44</v>
      </c>
      <c r="B5" t="s">
        <v>20</v>
      </c>
      <c r="C5" t="s">
        <v>24</v>
      </c>
      <c r="D5">
        <v>9.5615869565217295</v>
      </c>
      <c r="E5">
        <v>9.6715</v>
      </c>
      <c r="F5">
        <v>2.9252642317581898</v>
      </c>
      <c r="G5">
        <v>4.1639999999999997</v>
      </c>
      <c r="H5">
        <v>17.995000000000001</v>
      </c>
      <c r="I5">
        <v>8.0131086956521695</v>
      </c>
      <c r="J5">
        <v>6.9264999999999999</v>
      </c>
      <c r="K5">
        <v>4.4889866326290901</v>
      </c>
      <c r="L5">
        <v>0.75800000000000001</v>
      </c>
      <c r="M5">
        <v>19.222000000000001</v>
      </c>
      <c r="N5">
        <v>3.2700505351985501E-2</v>
      </c>
      <c r="O5">
        <v>4.0893564867633E-2</v>
      </c>
      <c r="P5">
        <v>1</v>
      </c>
      <c r="Q5">
        <f>J5/E5</f>
        <v>0.71617639456133997</v>
      </c>
    </row>
    <row r="6" spans="1:17" x14ac:dyDescent="0.25">
      <c r="A6">
        <v>45</v>
      </c>
      <c r="B6" t="s">
        <v>20</v>
      </c>
      <c r="C6" t="s">
        <v>25</v>
      </c>
      <c r="D6">
        <v>9.5615869565217295</v>
      </c>
      <c r="E6">
        <v>9.6715</v>
      </c>
      <c r="F6">
        <v>2.9252642317581898</v>
      </c>
      <c r="G6">
        <v>4.1639999999999997</v>
      </c>
      <c r="H6">
        <v>17.995000000000001</v>
      </c>
      <c r="I6">
        <v>6.6071860465116199</v>
      </c>
      <c r="J6">
        <v>5.93</v>
      </c>
      <c r="K6">
        <v>3.4435247947679399</v>
      </c>
      <c r="L6">
        <v>1.8620000000000001</v>
      </c>
      <c r="M6">
        <v>14.862</v>
      </c>
      <c r="N6" s="1">
        <v>4.1133585759085897E-5</v>
      </c>
      <c r="O6" s="1">
        <v>6.8555976265143105E-5</v>
      </c>
      <c r="P6">
        <v>2.2623472167497198E-3</v>
      </c>
      <c r="Q6">
        <f>J6/E6</f>
        <v>0.61314170500956411</v>
      </c>
    </row>
    <row r="7" spans="1:17" hidden="1" x14ac:dyDescent="0.25">
      <c r="A7">
        <v>46</v>
      </c>
      <c r="B7" t="s">
        <v>21</v>
      </c>
      <c r="C7" t="s">
        <v>22</v>
      </c>
      <c r="D7">
        <v>8.3163255813953398</v>
      </c>
      <c r="E7">
        <v>7.9710000000000001</v>
      </c>
      <c r="F7">
        <v>2.0095733463424499</v>
      </c>
      <c r="G7">
        <v>3.073</v>
      </c>
      <c r="H7">
        <v>13.186999999999999</v>
      </c>
      <c r="I7">
        <v>4.78884210526315</v>
      </c>
      <c r="J7">
        <v>4.7675000000000001</v>
      </c>
      <c r="K7">
        <v>1.0196208496780299</v>
      </c>
      <c r="L7">
        <v>2.6259999999999999</v>
      </c>
      <c r="M7">
        <v>6.7480000000000002</v>
      </c>
      <c r="N7" s="1">
        <v>9.9755427086478494E-13</v>
      </c>
      <c r="O7" s="1">
        <v>2.7432742448781501E-12</v>
      </c>
      <c r="P7" s="1">
        <v>5.4865484897563101E-11</v>
      </c>
      <c r="Q7">
        <f>J7/E7</f>
        <v>0.59810563291933261</v>
      </c>
    </row>
    <row r="8" spans="1:17" hidden="1" x14ac:dyDescent="0.25">
      <c r="A8">
        <v>47</v>
      </c>
      <c r="B8" t="s">
        <v>21</v>
      </c>
      <c r="C8" t="s">
        <v>23</v>
      </c>
      <c r="D8">
        <v>8.3163255813953398</v>
      </c>
      <c r="E8">
        <v>7.9710000000000001</v>
      </c>
      <c r="F8">
        <v>2.0095733463424499</v>
      </c>
      <c r="G8">
        <v>3.073</v>
      </c>
      <c r="H8">
        <v>13.186999999999999</v>
      </c>
      <c r="I8">
        <v>4.8197435897435899</v>
      </c>
      <c r="J8">
        <v>4.6429999999999998</v>
      </c>
      <c r="K8">
        <v>0.872793148398884</v>
      </c>
      <c r="L8">
        <v>3.1739999999999999</v>
      </c>
      <c r="M8">
        <v>7.0510000000000002</v>
      </c>
      <c r="N8" s="1">
        <v>8.1394204871524405E-13</v>
      </c>
      <c r="O8" s="1">
        <v>2.35614803575465E-12</v>
      </c>
      <c r="P8" s="1">
        <v>4.4766812679338401E-11</v>
      </c>
      <c r="Q8">
        <f>J8/E8</f>
        <v>0.58248651361184289</v>
      </c>
    </row>
    <row r="9" spans="1:17" x14ac:dyDescent="0.25">
      <c r="A9">
        <v>48</v>
      </c>
      <c r="B9" t="s">
        <v>21</v>
      </c>
      <c r="C9" t="s">
        <v>24</v>
      </c>
      <c r="D9">
        <v>8.3163255813953398</v>
      </c>
      <c r="E9">
        <v>7.9710000000000001</v>
      </c>
      <c r="F9">
        <v>2.0095733463424499</v>
      </c>
      <c r="G9">
        <v>3.073</v>
      </c>
      <c r="H9">
        <v>13.186999999999999</v>
      </c>
      <c r="I9">
        <v>8.0131086956521695</v>
      </c>
      <c r="J9">
        <v>6.9264999999999999</v>
      </c>
      <c r="K9">
        <v>4.4889866326290901</v>
      </c>
      <c r="L9">
        <v>0.75800000000000001</v>
      </c>
      <c r="M9">
        <v>19.222000000000001</v>
      </c>
      <c r="N9">
        <v>0.38639087691594298</v>
      </c>
      <c r="O9">
        <v>0.425029964607537</v>
      </c>
      <c r="P9">
        <v>1</v>
      </c>
      <c r="Q9">
        <f>J9/E9</f>
        <v>0.86896248902270734</v>
      </c>
    </row>
    <row r="10" spans="1:17" x14ac:dyDescent="0.25">
      <c r="A10">
        <v>49</v>
      </c>
      <c r="B10" t="s">
        <v>21</v>
      </c>
      <c r="C10" t="s">
        <v>25</v>
      </c>
      <c r="D10">
        <v>8.3163255813953398</v>
      </c>
      <c r="E10">
        <v>7.9710000000000001</v>
      </c>
      <c r="F10">
        <v>2.0095733463424499</v>
      </c>
      <c r="G10">
        <v>3.073</v>
      </c>
      <c r="H10">
        <v>13.186999999999999</v>
      </c>
      <c r="I10">
        <v>6.6071860465116199</v>
      </c>
      <c r="J10">
        <v>5.93</v>
      </c>
      <c r="K10">
        <v>3.4435247947679399</v>
      </c>
      <c r="L10">
        <v>1.8620000000000001</v>
      </c>
      <c r="M10">
        <v>14.862</v>
      </c>
      <c r="N10">
        <v>8.8341787288467497E-4</v>
      </c>
      <c r="O10">
        <v>1.2786311318067601E-3</v>
      </c>
      <c r="P10">
        <v>4.8587983008657097E-2</v>
      </c>
      <c r="Q10">
        <f>J10/E10</f>
        <v>0.74394680717601303</v>
      </c>
    </row>
    <row r="11" spans="1:17" hidden="1" x14ac:dyDescent="0.25">
      <c r="A11">
        <v>55</v>
      </c>
      <c r="B11" t="s">
        <v>24</v>
      </c>
      <c r="C11" t="s">
        <v>25</v>
      </c>
      <c r="D11">
        <v>8.0131086956521695</v>
      </c>
      <c r="E11">
        <v>6.9264999999999999</v>
      </c>
      <c r="F11">
        <v>4.4889866326290901</v>
      </c>
      <c r="G11">
        <v>0.75800000000000001</v>
      </c>
      <c r="H11">
        <v>19.222000000000001</v>
      </c>
      <c r="I11">
        <v>6.6071860465116199</v>
      </c>
      <c r="J11">
        <v>5.93</v>
      </c>
      <c r="K11">
        <v>3.4435247947679399</v>
      </c>
      <c r="L11">
        <v>1.8620000000000001</v>
      </c>
      <c r="M11">
        <v>14.862</v>
      </c>
      <c r="N11">
        <v>0.169064372045688</v>
      </c>
      <c r="O11">
        <v>0.197841286436444</v>
      </c>
      <c r="P11">
        <v>1</v>
      </c>
      <c r="Q11">
        <f>J11/E11</f>
        <v>0.8561322457229481</v>
      </c>
    </row>
    <row r="12" spans="1:17" hidden="1" x14ac:dyDescent="0.25">
      <c r="A12">
        <v>28</v>
      </c>
      <c r="B12" t="s">
        <v>18</v>
      </c>
      <c r="C12" t="s">
        <v>19</v>
      </c>
      <c r="D12">
        <v>5.0655909090908997</v>
      </c>
      <c r="E12">
        <v>4.7835000000000001</v>
      </c>
      <c r="F12">
        <v>1.51506822807733</v>
      </c>
      <c r="G12">
        <v>2.5910000000000002</v>
      </c>
      <c r="H12">
        <v>9.859</v>
      </c>
      <c r="I12">
        <v>4.6603913043478196</v>
      </c>
      <c r="J12">
        <v>4.585</v>
      </c>
      <c r="K12">
        <v>1.2327116537357901</v>
      </c>
      <c r="L12">
        <v>2.44</v>
      </c>
      <c r="M12">
        <v>7.4370000000000003</v>
      </c>
      <c r="N12">
        <v>0.36812352530096698</v>
      </c>
      <c r="O12">
        <v>0.41319987533781999</v>
      </c>
      <c r="P12">
        <v>1</v>
      </c>
      <c r="Q12">
        <f>J12/E12</f>
        <v>0.95850318804222845</v>
      </c>
    </row>
    <row r="13" spans="1:17" hidden="1" x14ac:dyDescent="0.25">
      <c r="A13">
        <v>29</v>
      </c>
      <c r="B13" t="s">
        <v>18</v>
      </c>
      <c r="C13" t="s">
        <v>20</v>
      </c>
      <c r="D13">
        <v>5.0655909090908997</v>
      </c>
      <c r="E13">
        <v>4.7835000000000001</v>
      </c>
      <c r="F13">
        <v>1.51506822807733</v>
      </c>
      <c r="G13">
        <v>2.5910000000000002</v>
      </c>
      <c r="H13">
        <v>9.859</v>
      </c>
      <c r="I13">
        <v>9.5615869565217295</v>
      </c>
      <c r="J13">
        <v>9.6715</v>
      </c>
      <c r="K13">
        <v>2.9252642317581898</v>
      </c>
      <c r="L13">
        <v>4.1639999999999997</v>
      </c>
      <c r="M13">
        <v>17.995000000000001</v>
      </c>
      <c r="N13" s="1">
        <v>1.30470891868328E-11</v>
      </c>
      <c r="O13" s="1">
        <v>2.6577403899103799E-11</v>
      </c>
      <c r="P13" s="1">
        <v>7.1758990527580403E-10</v>
      </c>
      <c r="Q13">
        <f>J13/E13</f>
        <v>2.0218459287132853</v>
      </c>
    </row>
    <row r="14" spans="1:17" hidden="1" x14ac:dyDescent="0.25">
      <c r="A14">
        <v>30</v>
      </c>
      <c r="B14" t="s">
        <v>18</v>
      </c>
      <c r="C14" t="s">
        <v>21</v>
      </c>
      <c r="D14">
        <v>5.0655909090908997</v>
      </c>
      <c r="E14">
        <v>4.7835000000000001</v>
      </c>
      <c r="F14">
        <v>1.51506822807733</v>
      </c>
      <c r="G14">
        <v>2.5910000000000002</v>
      </c>
      <c r="H14">
        <v>9.859</v>
      </c>
      <c r="I14">
        <v>8.3163255813953398</v>
      </c>
      <c r="J14">
        <v>7.9710000000000001</v>
      </c>
      <c r="K14">
        <v>2.0095733463424499</v>
      </c>
      <c r="L14">
        <v>3.073</v>
      </c>
      <c r="M14">
        <v>13.186999999999999</v>
      </c>
      <c r="N14" s="1">
        <v>1.0139758582996499E-10</v>
      </c>
      <c r="O14" s="1">
        <v>1.9230576622924401E-10</v>
      </c>
      <c r="P14" s="1">
        <v>5.5768672206480799E-9</v>
      </c>
      <c r="Q14">
        <f>J14/E14</f>
        <v>1.6663530887425526</v>
      </c>
    </row>
    <row r="15" spans="1:17" hidden="1" x14ac:dyDescent="0.25">
      <c r="A15">
        <v>31</v>
      </c>
      <c r="B15" t="s">
        <v>18</v>
      </c>
      <c r="C15" t="s">
        <v>22</v>
      </c>
      <c r="D15">
        <v>5.0655909090908997</v>
      </c>
      <c r="E15">
        <v>4.7835000000000001</v>
      </c>
      <c r="F15">
        <v>1.51506822807733</v>
      </c>
      <c r="G15">
        <v>2.5910000000000002</v>
      </c>
      <c r="H15">
        <v>9.859</v>
      </c>
      <c r="I15">
        <v>4.78884210526315</v>
      </c>
      <c r="J15">
        <v>4.7675000000000001</v>
      </c>
      <c r="K15">
        <v>1.0196208496780299</v>
      </c>
      <c r="L15">
        <v>2.6259999999999999</v>
      </c>
      <c r="M15">
        <v>6.7480000000000002</v>
      </c>
      <c r="N15">
        <v>0.81256139519412895</v>
      </c>
      <c r="O15">
        <v>0.82760882843846495</v>
      </c>
      <c r="P15">
        <v>1</v>
      </c>
      <c r="Q15">
        <f>J15/E15</f>
        <v>0.99665516880944915</v>
      </c>
    </row>
    <row r="16" spans="1:17" hidden="1" x14ac:dyDescent="0.25">
      <c r="A16">
        <v>32</v>
      </c>
      <c r="B16" t="s">
        <v>18</v>
      </c>
      <c r="C16" t="s">
        <v>23</v>
      </c>
      <c r="D16">
        <v>5.0655909090908997</v>
      </c>
      <c r="E16">
        <v>4.7835000000000001</v>
      </c>
      <c r="F16">
        <v>1.51506822807733</v>
      </c>
      <c r="G16">
        <v>2.5910000000000002</v>
      </c>
      <c r="H16">
        <v>9.859</v>
      </c>
      <c r="I16">
        <v>4.8197435897435899</v>
      </c>
      <c r="J16">
        <v>4.6429999999999998</v>
      </c>
      <c r="K16">
        <v>0.872793148398884</v>
      </c>
      <c r="L16">
        <v>3.1739999999999999</v>
      </c>
      <c r="M16">
        <v>7.0510000000000002</v>
      </c>
      <c r="N16">
        <v>0.732233824435368</v>
      </c>
      <c r="O16">
        <v>0.75986528950840004</v>
      </c>
      <c r="P16">
        <v>1</v>
      </c>
      <c r="Q16">
        <f>J16/E16</f>
        <v>0.97062820110797532</v>
      </c>
    </row>
    <row r="17" spans="1:17" x14ac:dyDescent="0.25">
      <c r="A17">
        <v>33</v>
      </c>
      <c r="B17" t="s">
        <v>18</v>
      </c>
      <c r="C17" t="s">
        <v>24</v>
      </c>
      <c r="D17">
        <v>5.0655909090908997</v>
      </c>
      <c r="E17">
        <v>4.7835000000000001</v>
      </c>
      <c r="F17">
        <v>1.51506822807733</v>
      </c>
      <c r="G17">
        <v>2.5910000000000002</v>
      </c>
      <c r="H17">
        <v>9.859</v>
      </c>
      <c r="I17">
        <v>8.0131086956521695</v>
      </c>
      <c r="J17">
        <v>6.9264999999999999</v>
      </c>
      <c r="K17">
        <v>4.4889866326290901</v>
      </c>
      <c r="L17">
        <v>0.75800000000000001</v>
      </c>
      <c r="M17">
        <v>19.222000000000001</v>
      </c>
      <c r="N17">
        <v>9.4854963713571997E-4</v>
      </c>
      <c r="O17">
        <v>1.33769820621704E-3</v>
      </c>
      <c r="P17">
        <v>5.2170230042464599E-2</v>
      </c>
      <c r="Q17">
        <f>J17/E17</f>
        <v>1.4479983275844046</v>
      </c>
    </row>
    <row r="18" spans="1:17" x14ac:dyDescent="0.25">
      <c r="A18">
        <v>34</v>
      </c>
      <c r="B18" t="s">
        <v>18</v>
      </c>
      <c r="C18" t="s">
        <v>25</v>
      </c>
      <c r="D18">
        <v>5.0655909090908997</v>
      </c>
      <c r="E18">
        <v>4.7835000000000001</v>
      </c>
      <c r="F18">
        <v>1.51506822807733</v>
      </c>
      <c r="G18">
        <v>2.5910000000000002</v>
      </c>
      <c r="H18">
        <v>9.859</v>
      </c>
      <c r="I18">
        <v>6.6071860465116199</v>
      </c>
      <c r="J18">
        <v>5.93</v>
      </c>
      <c r="K18">
        <v>3.4435247947679399</v>
      </c>
      <c r="L18">
        <v>1.8620000000000001</v>
      </c>
      <c r="M18">
        <v>14.862</v>
      </c>
      <c r="N18">
        <v>8.4052869687827603E-2</v>
      </c>
      <c r="O18">
        <v>0.10049799636588</v>
      </c>
      <c r="P18">
        <v>1</v>
      </c>
      <c r="Q18">
        <f>J18/E18</f>
        <v>1.2396780599979094</v>
      </c>
    </row>
    <row r="19" spans="1:17" hidden="1" x14ac:dyDescent="0.25">
      <c r="A19">
        <v>50</v>
      </c>
      <c r="B19" t="s">
        <v>22</v>
      </c>
      <c r="C19" t="s">
        <v>23</v>
      </c>
      <c r="D19">
        <v>4.78884210526315</v>
      </c>
      <c r="E19">
        <v>4.7675000000000001</v>
      </c>
      <c r="F19">
        <v>1.0196208496780299</v>
      </c>
      <c r="G19">
        <v>2.6259999999999999</v>
      </c>
      <c r="H19">
        <v>6.7480000000000002</v>
      </c>
      <c r="I19">
        <v>4.8197435897435899</v>
      </c>
      <c r="J19">
        <v>4.6429999999999998</v>
      </c>
      <c r="K19">
        <v>0.872793148398884</v>
      </c>
      <c r="L19">
        <v>3.1739999999999999</v>
      </c>
      <c r="M19">
        <v>7.0510000000000002</v>
      </c>
      <c r="N19">
        <v>0.89462512102186997</v>
      </c>
      <c r="O19">
        <v>0.89462512102186997</v>
      </c>
      <c r="P19">
        <v>1</v>
      </c>
      <c r="Q19">
        <f>J19/E19</f>
        <v>0.97388568432092282</v>
      </c>
    </row>
    <row r="20" spans="1:17" x14ac:dyDescent="0.25">
      <c r="A20">
        <v>51</v>
      </c>
      <c r="B20" t="s">
        <v>22</v>
      </c>
      <c r="C20" t="s">
        <v>24</v>
      </c>
      <c r="D20">
        <v>4.78884210526315</v>
      </c>
      <c r="E20">
        <v>4.7675000000000001</v>
      </c>
      <c r="F20">
        <v>1.0196208496780299</v>
      </c>
      <c r="G20">
        <v>2.6259999999999999</v>
      </c>
      <c r="H20">
        <v>6.7480000000000002</v>
      </c>
      <c r="I20">
        <v>8.0131086956521695</v>
      </c>
      <c r="J20">
        <v>6.9264999999999999</v>
      </c>
      <c r="K20">
        <v>4.4889866326290901</v>
      </c>
      <c r="L20">
        <v>0.75800000000000001</v>
      </c>
      <c r="M20">
        <v>19.222000000000001</v>
      </c>
      <c r="N20">
        <v>5.8712481308017996E-4</v>
      </c>
      <c r="O20">
        <v>8.9699624220582999E-4</v>
      </c>
      <c r="P20">
        <v>3.2291864719409903E-2</v>
      </c>
      <c r="Q20">
        <f>J20/E20</f>
        <v>1.4528578919769271</v>
      </c>
    </row>
    <row r="21" spans="1:17" x14ac:dyDescent="0.25">
      <c r="A21">
        <v>52</v>
      </c>
      <c r="B21" t="s">
        <v>22</v>
      </c>
      <c r="C21" t="s">
        <v>25</v>
      </c>
      <c r="D21">
        <v>4.78884210526315</v>
      </c>
      <c r="E21">
        <v>4.7675000000000001</v>
      </c>
      <c r="F21">
        <v>1.0196208496780299</v>
      </c>
      <c r="G21">
        <v>2.6259999999999999</v>
      </c>
      <c r="H21">
        <v>6.7480000000000002</v>
      </c>
      <c r="I21">
        <v>6.6071860465116199</v>
      </c>
      <c r="J21">
        <v>5.93</v>
      </c>
      <c r="K21">
        <v>3.4435247947679399</v>
      </c>
      <c r="L21">
        <v>1.8620000000000001</v>
      </c>
      <c r="M21">
        <v>14.862</v>
      </c>
      <c r="N21">
        <v>2.95069319568157E-2</v>
      </c>
      <c r="O21">
        <v>3.8640029943449103E-2</v>
      </c>
      <c r="P21">
        <v>1</v>
      </c>
      <c r="Q21">
        <f>J21/E21</f>
        <v>1.2438384897745149</v>
      </c>
    </row>
    <row r="22" spans="1:17" x14ac:dyDescent="0.25">
      <c r="A22">
        <v>53</v>
      </c>
      <c r="B22" t="s">
        <v>23</v>
      </c>
      <c r="C22" t="s">
        <v>24</v>
      </c>
      <c r="D22">
        <v>4.8197435897435899</v>
      </c>
      <c r="E22">
        <v>4.6429999999999998</v>
      </c>
      <c r="F22">
        <v>0.872793148398884</v>
      </c>
      <c r="G22">
        <v>3.1739999999999999</v>
      </c>
      <c r="H22">
        <v>7.0510000000000002</v>
      </c>
      <c r="I22">
        <v>8.0131086956521695</v>
      </c>
      <c r="J22">
        <v>6.9264999999999999</v>
      </c>
      <c r="K22">
        <v>4.4889866326290901</v>
      </c>
      <c r="L22">
        <v>0.75800000000000001</v>
      </c>
      <c r="M22">
        <v>19.222000000000001</v>
      </c>
      <c r="N22">
        <v>4.12277125309826E-4</v>
      </c>
      <c r="O22">
        <v>6.4786405405829902E-4</v>
      </c>
      <c r="P22">
        <v>2.2675241892040399E-2</v>
      </c>
      <c r="Q22">
        <f>J22/E22</f>
        <v>1.4918156364419557</v>
      </c>
    </row>
    <row r="23" spans="1:17" x14ac:dyDescent="0.25">
      <c r="A23">
        <v>54</v>
      </c>
      <c r="B23" t="s">
        <v>23</v>
      </c>
      <c r="C23" t="s">
        <v>25</v>
      </c>
      <c r="D23">
        <v>4.8197435897435899</v>
      </c>
      <c r="E23">
        <v>4.6429999999999998</v>
      </c>
      <c r="F23">
        <v>0.872793148398884</v>
      </c>
      <c r="G23">
        <v>3.1739999999999999</v>
      </c>
      <c r="H23">
        <v>7.0510000000000002</v>
      </c>
      <c r="I23">
        <v>6.6071860465116199</v>
      </c>
      <c r="J23">
        <v>5.93</v>
      </c>
      <c r="K23">
        <v>3.4435247947679399</v>
      </c>
      <c r="L23">
        <v>1.8620000000000001</v>
      </c>
      <c r="M23">
        <v>14.862</v>
      </c>
      <c r="N23">
        <v>3.2714851894106403E-2</v>
      </c>
      <c r="O23">
        <v>4.0893564867633E-2</v>
      </c>
      <c r="P23">
        <v>1</v>
      </c>
      <c r="Q23">
        <f>J23/E23</f>
        <v>1.2771914710316605</v>
      </c>
    </row>
    <row r="24" spans="1:17" hidden="1" x14ac:dyDescent="0.25">
      <c r="A24">
        <v>35</v>
      </c>
      <c r="B24" t="s">
        <v>19</v>
      </c>
      <c r="C24" t="s">
        <v>20</v>
      </c>
      <c r="D24">
        <v>4.6603913043478196</v>
      </c>
      <c r="E24">
        <v>4.585</v>
      </c>
      <c r="F24">
        <v>1.2327116537357901</v>
      </c>
      <c r="G24">
        <v>2.44</v>
      </c>
      <c r="H24">
        <v>7.4370000000000003</v>
      </c>
      <c r="I24">
        <v>9.5615869565217295</v>
      </c>
      <c r="J24">
        <v>9.6715</v>
      </c>
      <c r="K24">
        <v>2.9252642317581898</v>
      </c>
      <c r="L24">
        <v>4.1639999999999997</v>
      </c>
      <c r="M24">
        <v>17.995000000000001</v>
      </c>
      <c r="N24" s="1">
        <v>2.06846351358243E-13</v>
      </c>
      <c r="O24" s="1">
        <v>6.6920878380608204E-13</v>
      </c>
      <c r="P24" s="1">
        <v>1.13765493247033E-11</v>
      </c>
      <c r="Q24">
        <f>J24/E24</f>
        <v>2.1093784078516902</v>
      </c>
    </row>
    <row r="25" spans="1:17" hidden="1" x14ac:dyDescent="0.25">
      <c r="A25">
        <v>36</v>
      </c>
      <c r="B25" t="s">
        <v>19</v>
      </c>
      <c r="C25" t="s">
        <v>21</v>
      </c>
      <c r="D25">
        <v>4.6603913043478196</v>
      </c>
      <c r="E25">
        <v>4.585</v>
      </c>
      <c r="F25">
        <v>1.2327116537357901</v>
      </c>
      <c r="G25">
        <v>2.44</v>
      </c>
      <c r="H25">
        <v>7.4370000000000003</v>
      </c>
      <c r="I25">
        <v>8.3163255813953398</v>
      </c>
      <c r="J25">
        <v>7.9710000000000001</v>
      </c>
      <c r="K25">
        <v>2.0095733463424499</v>
      </c>
      <c r="L25">
        <v>3.073</v>
      </c>
      <c r="M25">
        <v>13.186999999999999</v>
      </c>
      <c r="N25" s="1">
        <v>2.49016729071732E-13</v>
      </c>
      <c r="O25" s="1">
        <v>7.60884449941404E-13</v>
      </c>
      <c r="P25" s="1">
        <v>1.36959200989452E-11</v>
      </c>
      <c r="Q25">
        <f>J25/E25</f>
        <v>1.7384950926935661</v>
      </c>
    </row>
    <row r="26" spans="1:17" hidden="1" x14ac:dyDescent="0.25">
      <c r="A26">
        <v>37</v>
      </c>
      <c r="B26" t="s">
        <v>19</v>
      </c>
      <c r="C26" t="s">
        <v>22</v>
      </c>
      <c r="D26">
        <v>4.6603913043478196</v>
      </c>
      <c r="E26">
        <v>4.585</v>
      </c>
      <c r="F26">
        <v>1.2327116537357901</v>
      </c>
      <c r="G26">
        <v>2.44</v>
      </c>
      <c r="H26">
        <v>7.4370000000000003</v>
      </c>
      <c r="I26">
        <v>4.78884210526315</v>
      </c>
      <c r="J26">
        <v>4.7675000000000001</v>
      </c>
      <c r="K26">
        <v>1.0196208496780299</v>
      </c>
      <c r="L26">
        <v>2.6259999999999999</v>
      </c>
      <c r="M26">
        <v>6.7480000000000002</v>
      </c>
      <c r="N26">
        <v>0.44226092446422899</v>
      </c>
      <c r="O26">
        <v>0.47694805579475702</v>
      </c>
      <c r="P26">
        <v>1</v>
      </c>
      <c r="Q26">
        <f>J26/E26</f>
        <v>1.039803707742639</v>
      </c>
    </row>
    <row r="27" spans="1:17" hidden="1" x14ac:dyDescent="0.25">
      <c r="A27">
        <v>38</v>
      </c>
      <c r="B27" t="s">
        <v>19</v>
      </c>
      <c r="C27" t="s">
        <v>23</v>
      </c>
      <c r="D27">
        <v>4.6603913043478196</v>
      </c>
      <c r="E27">
        <v>4.585</v>
      </c>
      <c r="F27">
        <v>1.2327116537357901</v>
      </c>
      <c r="G27">
        <v>2.44</v>
      </c>
      <c r="H27">
        <v>7.4370000000000003</v>
      </c>
      <c r="I27">
        <v>4.8197435897435899</v>
      </c>
      <c r="J27">
        <v>4.6429999999999998</v>
      </c>
      <c r="K27">
        <v>0.872793148398884</v>
      </c>
      <c r="L27">
        <v>3.1739999999999999</v>
      </c>
      <c r="M27">
        <v>7.0510000000000002</v>
      </c>
      <c r="N27">
        <v>0.46686726586994798</v>
      </c>
      <c r="O27">
        <v>0.49380191582398397</v>
      </c>
      <c r="P27">
        <v>1</v>
      </c>
      <c r="Q27">
        <f>J27/E27</f>
        <v>1.0126499454743729</v>
      </c>
    </row>
    <row r="28" spans="1:17" x14ac:dyDescent="0.25">
      <c r="A28">
        <v>39</v>
      </c>
      <c r="B28" t="s">
        <v>19</v>
      </c>
      <c r="C28" t="s">
        <v>24</v>
      </c>
      <c r="D28">
        <v>4.6603913043478196</v>
      </c>
      <c r="E28">
        <v>4.585</v>
      </c>
      <c r="F28">
        <v>1.2327116537357901</v>
      </c>
      <c r="G28">
        <v>2.44</v>
      </c>
      <c r="H28">
        <v>7.4370000000000003</v>
      </c>
      <c r="I28">
        <v>8.0131086956521695</v>
      </c>
      <c r="J28">
        <v>6.9264999999999999</v>
      </c>
      <c r="K28">
        <v>4.4889866326290901</v>
      </c>
      <c r="L28">
        <v>0.75800000000000001</v>
      </c>
      <c r="M28">
        <v>19.222000000000001</v>
      </c>
      <c r="N28" s="1">
        <v>9.2921866442150896E-5</v>
      </c>
      <c r="O28">
        <v>1.50314783950538E-4</v>
      </c>
      <c r="P28">
        <v>5.1107026543183E-3</v>
      </c>
      <c r="Q28">
        <f>J28/E28</f>
        <v>1.5106870229007634</v>
      </c>
    </row>
    <row r="29" spans="1:17" x14ac:dyDescent="0.25">
      <c r="A29">
        <v>40</v>
      </c>
      <c r="B29" t="s">
        <v>19</v>
      </c>
      <c r="C29" t="s">
        <v>25</v>
      </c>
      <c r="D29">
        <v>4.6603913043478196</v>
      </c>
      <c r="E29">
        <v>4.585</v>
      </c>
      <c r="F29">
        <v>1.2327116537357901</v>
      </c>
      <c r="G29">
        <v>2.44</v>
      </c>
      <c r="H29">
        <v>7.4370000000000003</v>
      </c>
      <c r="I29">
        <v>6.6071860465116199</v>
      </c>
      <c r="J29">
        <v>5.93</v>
      </c>
      <c r="K29">
        <v>3.4435247947679399</v>
      </c>
      <c r="L29">
        <v>1.8620000000000001</v>
      </c>
      <c r="M29">
        <v>14.862</v>
      </c>
      <c r="N29">
        <v>9.5883147947132003E-3</v>
      </c>
      <c r="O29">
        <v>1.3183932842730599E-2</v>
      </c>
      <c r="P29">
        <v>0.52735731370922601</v>
      </c>
      <c r="Q29">
        <f>J29/E29</f>
        <v>1.2933478735005453</v>
      </c>
    </row>
    <row r="30" spans="1:17" hidden="1" x14ac:dyDescent="0.25">
      <c r="A30">
        <v>1</v>
      </c>
      <c r="B30" t="s">
        <v>15</v>
      </c>
      <c r="C30" t="s">
        <v>16</v>
      </c>
      <c r="D30">
        <v>2.7144418604651102</v>
      </c>
      <c r="E30">
        <v>2.6989999999999998</v>
      </c>
      <c r="F30">
        <v>0.522027015462463</v>
      </c>
      <c r="G30">
        <v>1.5509999999999999</v>
      </c>
      <c r="H30">
        <v>3.6869999999999998</v>
      </c>
      <c r="I30">
        <v>2.4588260869565199</v>
      </c>
      <c r="J30">
        <v>2.3969999999999998</v>
      </c>
      <c r="K30">
        <v>0.46337301050007501</v>
      </c>
      <c r="L30">
        <v>1.454</v>
      </c>
      <c r="M30">
        <v>3.6509999999999998</v>
      </c>
      <c r="N30">
        <v>1.8050953642498702E-2</v>
      </c>
      <c r="O30">
        <v>2.4214693910669001E-2</v>
      </c>
      <c r="P30">
        <v>0.99280245033743197</v>
      </c>
      <c r="Q30">
        <f>J30/E30</f>
        <v>0.88810670618747678</v>
      </c>
    </row>
    <row r="31" spans="1:17" hidden="1" x14ac:dyDescent="0.25">
      <c r="A31">
        <v>2</v>
      </c>
      <c r="B31" t="s">
        <v>15</v>
      </c>
      <c r="C31" t="s">
        <v>17</v>
      </c>
      <c r="D31">
        <v>2.7144418604651102</v>
      </c>
      <c r="E31">
        <v>2.6989999999999998</v>
      </c>
      <c r="F31">
        <v>0.522027015462463</v>
      </c>
      <c r="G31">
        <v>1.5509999999999999</v>
      </c>
      <c r="H31">
        <v>3.6869999999999998</v>
      </c>
      <c r="I31">
        <v>2.3713023255813899</v>
      </c>
      <c r="J31">
        <v>2.2879999999999998</v>
      </c>
      <c r="K31">
        <v>0.38946694553084898</v>
      </c>
      <c r="L31">
        <v>1.6379999999999999</v>
      </c>
      <c r="M31">
        <v>3.4159999999999999</v>
      </c>
      <c r="N31">
        <v>8.5619668038110002E-4</v>
      </c>
      <c r="O31">
        <v>1.27272479516109E-3</v>
      </c>
      <c r="P31">
        <v>4.7090817420960503E-2</v>
      </c>
      <c r="Q31">
        <f>J31/E31</f>
        <v>0.84772137828825489</v>
      </c>
    </row>
    <row r="32" spans="1:17" hidden="1" x14ac:dyDescent="0.25">
      <c r="A32">
        <v>3</v>
      </c>
      <c r="B32" t="s">
        <v>15</v>
      </c>
      <c r="C32" t="s">
        <v>18</v>
      </c>
      <c r="D32">
        <v>2.7144418604651102</v>
      </c>
      <c r="E32">
        <v>2.6989999999999998</v>
      </c>
      <c r="F32">
        <v>0.522027015462463</v>
      </c>
      <c r="G32">
        <v>1.5509999999999999</v>
      </c>
      <c r="H32">
        <v>3.6869999999999998</v>
      </c>
      <c r="I32">
        <v>5.0655909090908997</v>
      </c>
      <c r="J32">
        <v>4.7835000000000001</v>
      </c>
      <c r="K32">
        <v>1.51506822807733</v>
      </c>
      <c r="L32">
        <v>2.5910000000000002</v>
      </c>
      <c r="M32">
        <v>9.859</v>
      </c>
      <c r="N32" s="1">
        <v>7.7134320474441699E-14</v>
      </c>
      <c r="O32" s="1">
        <v>2.65149226630893E-13</v>
      </c>
      <c r="P32" s="1">
        <v>4.2423876260942904E-12</v>
      </c>
      <c r="Q32">
        <f>J32/E32</f>
        <v>1.7723230826231939</v>
      </c>
    </row>
    <row r="33" spans="1:17" hidden="1" x14ac:dyDescent="0.25">
      <c r="A33">
        <v>4</v>
      </c>
      <c r="B33" t="s">
        <v>15</v>
      </c>
      <c r="C33" t="s">
        <v>19</v>
      </c>
      <c r="D33">
        <v>2.7144418604651102</v>
      </c>
      <c r="E33">
        <v>2.6989999999999998</v>
      </c>
      <c r="F33">
        <v>0.522027015462463</v>
      </c>
      <c r="G33">
        <v>1.5509999999999999</v>
      </c>
      <c r="H33">
        <v>3.6869999999999998</v>
      </c>
      <c r="I33">
        <v>4.6603913043478196</v>
      </c>
      <c r="J33">
        <v>4.585</v>
      </c>
      <c r="K33">
        <v>1.2327116537357901</v>
      </c>
      <c r="L33">
        <v>2.44</v>
      </c>
      <c r="M33">
        <v>7.4370000000000003</v>
      </c>
      <c r="N33" s="1">
        <v>4.2239633459834901E-12</v>
      </c>
      <c r="O33" s="1">
        <v>8.9353070780420098E-12</v>
      </c>
      <c r="P33" s="1">
        <v>2.32317984029092E-10</v>
      </c>
      <c r="Q33">
        <f>J33/E33</f>
        <v>1.6987773249351612</v>
      </c>
    </row>
    <row r="34" spans="1:17" hidden="1" x14ac:dyDescent="0.25">
      <c r="A34">
        <v>5</v>
      </c>
      <c r="B34" t="s">
        <v>15</v>
      </c>
      <c r="C34" t="s">
        <v>20</v>
      </c>
      <c r="D34">
        <v>2.7144418604651102</v>
      </c>
      <c r="E34">
        <v>2.6989999999999998</v>
      </c>
      <c r="F34">
        <v>0.522027015462463</v>
      </c>
      <c r="G34">
        <v>1.5509999999999999</v>
      </c>
      <c r="H34">
        <v>3.6869999999999998</v>
      </c>
      <c r="I34">
        <v>9.5615869565217295</v>
      </c>
      <c r="J34">
        <v>9.6715</v>
      </c>
      <c r="K34">
        <v>2.9252642317581898</v>
      </c>
      <c r="L34">
        <v>4.1639999999999997</v>
      </c>
      <c r="M34">
        <v>17.995000000000001</v>
      </c>
      <c r="N34" s="1">
        <v>4.8247891207446605E-16</v>
      </c>
      <c r="O34" s="1">
        <v>8.6873744207959494E-15</v>
      </c>
      <c r="P34" s="1">
        <v>2.6536340164095601E-14</v>
      </c>
      <c r="Q34">
        <f>J34/E34</f>
        <v>3.5833642089662838</v>
      </c>
    </row>
    <row r="35" spans="1:17" hidden="1" x14ac:dyDescent="0.25">
      <c r="A35">
        <v>6</v>
      </c>
      <c r="B35" t="s">
        <v>15</v>
      </c>
      <c r="C35" t="s">
        <v>21</v>
      </c>
      <c r="D35">
        <v>2.7144418604651102</v>
      </c>
      <c r="E35">
        <v>2.6989999999999998</v>
      </c>
      <c r="F35">
        <v>0.522027015462463</v>
      </c>
      <c r="G35">
        <v>1.5509999999999999</v>
      </c>
      <c r="H35">
        <v>3.6869999999999998</v>
      </c>
      <c r="I35">
        <v>8.3163255813953398</v>
      </c>
      <c r="J35">
        <v>7.9710000000000001</v>
      </c>
      <c r="K35">
        <v>2.0095733463424499</v>
      </c>
      <c r="L35">
        <v>3.073</v>
      </c>
      <c r="M35">
        <v>13.186999999999999</v>
      </c>
      <c r="N35" s="1">
        <v>3.1309266404494499E-15</v>
      </c>
      <c r="O35" s="1">
        <v>2.1466933980102399E-14</v>
      </c>
      <c r="P35" s="1">
        <v>1.7220096522472E-13</v>
      </c>
      <c r="Q35">
        <f>J35/E35</f>
        <v>2.9533160429788814</v>
      </c>
    </row>
    <row r="36" spans="1:17" hidden="1" x14ac:dyDescent="0.25">
      <c r="A36">
        <v>7</v>
      </c>
      <c r="B36" t="s">
        <v>15</v>
      </c>
      <c r="C36" t="s">
        <v>22</v>
      </c>
      <c r="D36">
        <v>2.7144418604651102</v>
      </c>
      <c r="E36">
        <v>2.6989999999999998</v>
      </c>
      <c r="F36">
        <v>0.522027015462463</v>
      </c>
      <c r="G36">
        <v>1.5509999999999999</v>
      </c>
      <c r="H36">
        <v>3.6869999999999998</v>
      </c>
      <c r="I36">
        <v>4.78884210526315</v>
      </c>
      <c r="J36">
        <v>4.7675000000000001</v>
      </c>
      <c r="K36">
        <v>1.0196208496780299</v>
      </c>
      <c r="L36">
        <v>2.6259999999999999</v>
      </c>
      <c r="M36">
        <v>6.7480000000000002</v>
      </c>
      <c r="N36" s="1">
        <v>1.4053229133955799E-12</v>
      </c>
      <c r="O36" s="1">
        <v>3.6714650751209496E-12</v>
      </c>
      <c r="P36" s="1">
        <v>7.7292760236756904E-11</v>
      </c>
      <c r="Q36">
        <f>J36/E36</f>
        <v>1.7663949610967027</v>
      </c>
    </row>
    <row r="37" spans="1:17" hidden="1" x14ac:dyDescent="0.25">
      <c r="A37">
        <v>8</v>
      </c>
      <c r="B37" t="s">
        <v>15</v>
      </c>
      <c r="C37" t="s">
        <v>23</v>
      </c>
      <c r="D37">
        <v>2.7144418604651102</v>
      </c>
      <c r="E37">
        <v>2.6989999999999998</v>
      </c>
      <c r="F37">
        <v>0.522027015462463</v>
      </c>
      <c r="G37">
        <v>1.5509999999999999</v>
      </c>
      <c r="H37">
        <v>3.6869999999999998</v>
      </c>
      <c r="I37">
        <v>4.8197435897435899</v>
      </c>
      <c r="J37">
        <v>4.6429999999999998</v>
      </c>
      <c r="K37">
        <v>0.872793148398884</v>
      </c>
      <c r="L37">
        <v>3.1739999999999999</v>
      </c>
      <c r="M37">
        <v>7.0510000000000002</v>
      </c>
      <c r="N37" s="1">
        <v>1.8567217700340301E-14</v>
      </c>
      <c r="O37" s="1">
        <v>8.5099747793226499E-14</v>
      </c>
      <c r="P37" s="1">
        <v>1.02119697351871E-12</v>
      </c>
      <c r="Q37">
        <f>J37/E37</f>
        <v>1.7202667654686921</v>
      </c>
    </row>
    <row r="38" spans="1:17" x14ac:dyDescent="0.25">
      <c r="A38">
        <v>9</v>
      </c>
      <c r="B38" t="s">
        <v>15</v>
      </c>
      <c r="C38" t="s">
        <v>24</v>
      </c>
      <c r="D38">
        <v>2.7144418604651102</v>
      </c>
      <c r="E38">
        <v>2.6989999999999998</v>
      </c>
      <c r="F38">
        <v>0.522027015462463</v>
      </c>
      <c r="G38">
        <v>1.5509999999999999</v>
      </c>
      <c r="H38">
        <v>3.6869999999999998</v>
      </c>
      <c r="I38">
        <v>8.0131086956521695</v>
      </c>
      <c r="J38">
        <v>6.9264999999999999</v>
      </c>
      <c r="K38">
        <v>4.4889866326290901</v>
      </c>
      <c r="L38">
        <v>0.75800000000000001</v>
      </c>
      <c r="M38">
        <v>19.222000000000001</v>
      </c>
      <c r="N38" s="1">
        <v>2.0328786876610799E-10</v>
      </c>
      <c r="O38" s="1">
        <v>3.4940102444174803E-10</v>
      </c>
      <c r="P38" s="1">
        <v>1.11808327821359E-8</v>
      </c>
      <c r="Q38">
        <f>J38/E38</f>
        <v>2.5663208595776212</v>
      </c>
    </row>
    <row r="39" spans="1:17" x14ac:dyDescent="0.25">
      <c r="A39">
        <v>10</v>
      </c>
      <c r="B39" t="s">
        <v>15</v>
      </c>
      <c r="C39" t="s">
        <v>25</v>
      </c>
      <c r="D39">
        <v>2.7144418604651102</v>
      </c>
      <c r="E39">
        <v>2.6989999999999998</v>
      </c>
      <c r="F39">
        <v>0.522027015462463</v>
      </c>
      <c r="G39">
        <v>1.5509999999999999</v>
      </c>
      <c r="H39">
        <v>3.6869999999999998</v>
      </c>
      <c r="I39">
        <v>6.6071860465116199</v>
      </c>
      <c r="J39">
        <v>5.93</v>
      </c>
      <c r="K39">
        <v>3.4435247947679399</v>
      </c>
      <c r="L39">
        <v>1.8620000000000001</v>
      </c>
      <c r="M39">
        <v>14.862</v>
      </c>
      <c r="N39" s="1">
        <v>1.2383201146317201E-10</v>
      </c>
      <c r="O39" s="1">
        <v>2.2702535434915E-10</v>
      </c>
      <c r="P39" s="1">
        <v>6.8107606304744996E-9</v>
      </c>
      <c r="Q39">
        <f>J39/E39</f>
        <v>2.1971100407558355</v>
      </c>
    </row>
    <row r="40" spans="1:17" hidden="1" x14ac:dyDescent="0.25">
      <c r="A40">
        <v>11</v>
      </c>
      <c r="B40" t="s">
        <v>16</v>
      </c>
      <c r="C40" t="s">
        <v>17</v>
      </c>
      <c r="D40">
        <v>2.4588260869565199</v>
      </c>
      <c r="E40">
        <v>2.3969999999999998</v>
      </c>
      <c r="F40">
        <v>0.46337301050007501</v>
      </c>
      <c r="G40">
        <v>1.454</v>
      </c>
      <c r="H40">
        <v>3.6509999999999998</v>
      </c>
      <c r="I40">
        <v>2.3713023255813899</v>
      </c>
      <c r="J40">
        <v>2.2879999999999998</v>
      </c>
      <c r="K40">
        <v>0.38946694553084898</v>
      </c>
      <c r="L40">
        <v>1.6379999999999999</v>
      </c>
      <c r="M40">
        <v>3.4159999999999999</v>
      </c>
      <c r="N40">
        <v>0.338810490860883</v>
      </c>
      <c r="O40">
        <v>0.38822035411142802</v>
      </c>
      <c r="P40">
        <v>1</v>
      </c>
      <c r="Q40">
        <f>J40/E40</f>
        <v>0.9545264914476429</v>
      </c>
    </row>
    <row r="41" spans="1:17" hidden="1" x14ac:dyDescent="0.25">
      <c r="A41">
        <v>12</v>
      </c>
      <c r="B41" t="s">
        <v>16</v>
      </c>
      <c r="C41" t="s">
        <v>18</v>
      </c>
      <c r="D41">
        <v>2.4588260869565199</v>
      </c>
      <c r="E41">
        <v>2.3969999999999998</v>
      </c>
      <c r="F41">
        <v>0.46337301050007501</v>
      </c>
      <c r="G41">
        <v>1.454</v>
      </c>
      <c r="H41">
        <v>3.6509999999999998</v>
      </c>
      <c r="I41">
        <v>5.0655909090908997</v>
      </c>
      <c r="J41">
        <v>4.7835000000000001</v>
      </c>
      <c r="K41">
        <v>1.51506822807733</v>
      </c>
      <c r="L41">
        <v>2.5910000000000002</v>
      </c>
      <c r="M41">
        <v>9.859</v>
      </c>
      <c r="N41" s="1">
        <v>2.3296950176337499E-15</v>
      </c>
      <c r="O41" s="1">
        <v>2.1355537661642701E-14</v>
      </c>
      <c r="P41" s="1">
        <v>1.2813322596985599E-13</v>
      </c>
      <c r="Q41">
        <f>J41/E41</f>
        <v>1.9956195244055071</v>
      </c>
    </row>
    <row r="42" spans="1:17" hidden="1" x14ac:dyDescent="0.25">
      <c r="A42">
        <v>13</v>
      </c>
      <c r="B42" t="s">
        <v>16</v>
      </c>
      <c r="C42" t="s">
        <v>19</v>
      </c>
      <c r="D42">
        <v>2.4588260869565199</v>
      </c>
      <c r="E42">
        <v>2.3969999999999998</v>
      </c>
      <c r="F42">
        <v>0.46337301050007501</v>
      </c>
      <c r="G42">
        <v>1.454</v>
      </c>
      <c r="H42">
        <v>3.6509999999999998</v>
      </c>
      <c r="I42">
        <v>4.6603913043478196</v>
      </c>
      <c r="J42">
        <v>4.585</v>
      </c>
      <c r="K42">
        <v>1.2327116537357901</v>
      </c>
      <c r="L42">
        <v>2.44</v>
      </c>
      <c r="M42">
        <v>7.4370000000000003</v>
      </c>
      <c r="N42" s="1">
        <v>2.9154608882425398E-14</v>
      </c>
      <c r="O42" s="1">
        <v>1.2334642219487601E-13</v>
      </c>
      <c r="P42" s="1">
        <v>1.6035034885333901E-12</v>
      </c>
      <c r="Q42">
        <f>J42/E42</f>
        <v>1.9128076762619943</v>
      </c>
    </row>
    <row r="43" spans="1:17" hidden="1" x14ac:dyDescent="0.25">
      <c r="A43">
        <v>14</v>
      </c>
      <c r="B43" t="s">
        <v>16</v>
      </c>
      <c r="C43" t="s">
        <v>20</v>
      </c>
      <c r="D43">
        <v>2.4588260869565199</v>
      </c>
      <c r="E43">
        <v>2.3969999999999998</v>
      </c>
      <c r="F43">
        <v>0.46337301050007501</v>
      </c>
      <c r="G43">
        <v>1.454</v>
      </c>
      <c r="H43">
        <v>3.6509999999999998</v>
      </c>
      <c r="I43">
        <v>9.5615869565217295</v>
      </c>
      <c r="J43">
        <v>9.6715</v>
      </c>
      <c r="K43">
        <v>2.9252642317581898</v>
      </c>
      <c r="L43">
        <v>4.1639999999999997</v>
      </c>
      <c r="M43">
        <v>17.995000000000001</v>
      </c>
      <c r="N43" s="1">
        <v>1.48169230837067E-16</v>
      </c>
      <c r="O43" s="1">
        <v>8.1493076960387305E-15</v>
      </c>
      <c r="P43" s="1">
        <v>8.1493076960387305E-15</v>
      </c>
      <c r="Q43">
        <f>J43/E43</f>
        <v>4.0348352106800167</v>
      </c>
    </row>
    <row r="44" spans="1:17" hidden="1" x14ac:dyDescent="0.25">
      <c r="A44">
        <v>15</v>
      </c>
      <c r="B44" t="s">
        <v>16</v>
      </c>
      <c r="C44" t="s">
        <v>21</v>
      </c>
      <c r="D44">
        <v>2.4588260869565199</v>
      </c>
      <c r="E44">
        <v>2.3969999999999998</v>
      </c>
      <c r="F44">
        <v>0.46337301050007501</v>
      </c>
      <c r="G44">
        <v>1.454</v>
      </c>
      <c r="H44">
        <v>3.6509999999999998</v>
      </c>
      <c r="I44">
        <v>8.3163255813953398</v>
      </c>
      <c r="J44">
        <v>7.9710000000000001</v>
      </c>
      <c r="K44">
        <v>2.0095733463424499</v>
      </c>
      <c r="L44">
        <v>3.073</v>
      </c>
      <c r="M44">
        <v>13.186999999999999</v>
      </c>
      <c r="N44" s="1">
        <v>6.3180904878516E-16</v>
      </c>
      <c r="O44" s="1">
        <v>8.6873744207959494E-15</v>
      </c>
      <c r="P44" s="1">
        <v>3.4749497683183798E-14</v>
      </c>
      <c r="Q44">
        <f>J44/E44</f>
        <v>3.3254067584480604</v>
      </c>
    </row>
    <row r="45" spans="1:17" hidden="1" x14ac:dyDescent="0.25">
      <c r="A45">
        <v>16</v>
      </c>
      <c r="B45" t="s">
        <v>16</v>
      </c>
      <c r="C45" t="s">
        <v>22</v>
      </c>
      <c r="D45">
        <v>2.4588260869565199</v>
      </c>
      <c r="E45">
        <v>2.3969999999999998</v>
      </c>
      <c r="F45">
        <v>0.46337301050007501</v>
      </c>
      <c r="G45">
        <v>1.454</v>
      </c>
      <c r="H45">
        <v>3.6509999999999998</v>
      </c>
      <c r="I45">
        <v>4.78884210526315</v>
      </c>
      <c r="J45">
        <v>4.7675000000000001</v>
      </c>
      <c r="K45">
        <v>1.0196208496780299</v>
      </c>
      <c r="L45">
        <v>2.6259999999999999</v>
      </c>
      <c r="M45">
        <v>6.7480000000000002</v>
      </c>
      <c r="N45" s="1">
        <v>4.2359402017988303E-14</v>
      </c>
      <c r="O45" s="1">
        <v>1.5531780739929E-13</v>
      </c>
      <c r="P45" s="1">
        <v>2.3297671109893501E-12</v>
      </c>
      <c r="Q45">
        <f>J45/E45</f>
        <v>1.9889445139758033</v>
      </c>
    </row>
    <row r="46" spans="1:17" hidden="1" x14ac:dyDescent="0.25">
      <c r="A46">
        <v>17</v>
      </c>
      <c r="B46" t="s">
        <v>16</v>
      </c>
      <c r="C46" t="s">
        <v>23</v>
      </c>
      <c r="D46">
        <v>2.4588260869565199</v>
      </c>
      <c r="E46">
        <v>2.3969999999999998</v>
      </c>
      <c r="F46">
        <v>0.46337301050007501</v>
      </c>
      <c r="G46">
        <v>1.454</v>
      </c>
      <c r="H46">
        <v>3.6509999999999998</v>
      </c>
      <c r="I46">
        <v>4.8197435897435899</v>
      </c>
      <c r="J46">
        <v>4.6429999999999998</v>
      </c>
      <c r="K46">
        <v>0.872793148398884</v>
      </c>
      <c r="L46">
        <v>3.1739999999999999</v>
      </c>
      <c r="M46">
        <v>7.0510000000000002</v>
      </c>
      <c r="N46" s="1">
        <v>3.5127710149258399E-15</v>
      </c>
      <c r="O46" s="1">
        <v>2.1466933980102399E-14</v>
      </c>
      <c r="P46" s="1">
        <v>1.9320240582092101E-13</v>
      </c>
      <c r="Q46">
        <f>J46/E46</f>
        <v>1.9370045890696705</v>
      </c>
    </row>
    <row r="47" spans="1:17" x14ac:dyDescent="0.25">
      <c r="A47">
        <v>18</v>
      </c>
      <c r="B47" t="s">
        <v>16</v>
      </c>
      <c r="C47" t="s">
        <v>24</v>
      </c>
      <c r="D47">
        <v>2.4588260869565199</v>
      </c>
      <c r="E47">
        <v>2.3969999999999998</v>
      </c>
      <c r="F47">
        <v>0.46337301050007501</v>
      </c>
      <c r="G47">
        <v>1.454</v>
      </c>
      <c r="H47">
        <v>3.6509999999999998</v>
      </c>
      <c r="I47">
        <v>8.0131086956521695</v>
      </c>
      <c r="J47">
        <v>6.9264999999999999</v>
      </c>
      <c r="K47">
        <v>4.4889866326290901</v>
      </c>
      <c r="L47">
        <v>0.75800000000000001</v>
      </c>
      <c r="M47">
        <v>19.222000000000001</v>
      </c>
      <c r="N47" s="1">
        <v>5.8387002276494302E-11</v>
      </c>
      <c r="O47" s="1">
        <v>1.14688754471685E-10</v>
      </c>
      <c r="P47" s="1">
        <v>3.2112851252071799E-9</v>
      </c>
      <c r="Q47">
        <f>J47/E47</f>
        <v>2.8896537338339594</v>
      </c>
    </row>
    <row r="48" spans="1:17" x14ac:dyDescent="0.25">
      <c r="A48">
        <v>19</v>
      </c>
      <c r="B48" t="s">
        <v>16</v>
      </c>
      <c r="C48" t="s">
        <v>25</v>
      </c>
      <c r="D48">
        <v>2.4588260869565199</v>
      </c>
      <c r="E48">
        <v>2.3969999999999998</v>
      </c>
      <c r="F48">
        <v>0.46337301050007501</v>
      </c>
      <c r="G48">
        <v>1.454</v>
      </c>
      <c r="H48">
        <v>3.6509999999999998</v>
      </c>
      <c r="I48">
        <v>6.6071860465116199</v>
      </c>
      <c r="J48">
        <v>5.93</v>
      </c>
      <c r="K48">
        <v>3.4435247947679399</v>
      </c>
      <c r="L48">
        <v>1.8620000000000001</v>
      </c>
      <c r="M48">
        <v>14.862</v>
      </c>
      <c r="N48" s="1">
        <v>3.4461353185576199E-12</v>
      </c>
      <c r="O48" s="1">
        <v>7.7067614070464493E-12</v>
      </c>
      <c r="P48" s="1">
        <v>1.89537442520669E-10</v>
      </c>
      <c r="Q48">
        <f>J48/E48</f>
        <v>2.4739257405089696</v>
      </c>
    </row>
    <row r="49" spans="1:17" hidden="1" x14ac:dyDescent="0.25">
      <c r="A49">
        <v>20</v>
      </c>
      <c r="B49" t="s">
        <v>17</v>
      </c>
      <c r="C49" t="s">
        <v>18</v>
      </c>
      <c r="D49">
        <v>2.3713023255813899</v>
      </c>
      <c r="E49">
        <v>2.2879999999999998</v>
      </c>
      <c r="F49">
        <v>0.38946694553084898</v>
      </c>
      <c r="G49">
        <v>1.6379999999999999</v>
      </c>
      <c r="H49">
        <v>3.4159999999999999</v>
      </c>
      <c r="I49">
        <v>5.0655909090908997</v>
      </c>
      <c r="J49">
        <v>4.7835000000000001</v>
      </c>
      <c r="K49">
        <v>1.51506822807733</v>
      </c>
      <c r="L49">
        <v>2.5910000000000002</v>
      </c>
      <c r="M49">
        <v>9.859</v>
      </c>
      <c r="N49" s="1">
        <v>2.9907851715651402E-15</v>
      </c>
      <c r="O49" s="1">
        <v>2.1466933980102399E-14</v>
      </c>
      <c r="P49" s="1">
        <v>1.64493184436082E-13</v>
      </c>
      <c r="Q49">
        <f>J49/E49</f>
        <v>2.0906905594405596</v>
      </c>
    </row>
    <row r="50" spans="1:17" hidden="1" x14ac:dyDescent="0.25">
      <c r="A50">
        <v>21</v>
      </c>
      <c r="B50" t="s">
        <v>17</v>
      </c>
      <c r="C50" t="s">
        <v>19</v>
      </c>
      <c r="D50">
        <v>2.3713023255813899</v>
      </c>
      <c r="E50">
        <v>2.2879999999999998</v>
      </c>
      <c r="F50">
        <v>0.38946694553084898</v>
      </c>
      <c r="G50">
        <v>1.6379999999999999</v>
      </c>
      <c r="H50">
        <v>3.4159999999999999</v>
      </c>
      <c r="I50">
        <v>4.6603913043478196</v>
      </c>
      <c r="J50">
        <v>4.585</v>
      </c>
      <c r="K50">
        <v>1.2327116537357901</v>
      </c>
      <c r="L50">
        <v>2.44</v>
      </c>
      <c r="M50">
        <v>7.4370000000000003</v>
      </c>
      <c r="N50" s="1">
        <v>1.58036992202385E-14</v>
      </c>
      <c r="O50" s="1">
        <v>7.90184961011929E-14</v>
      </c>
      <c r="P50" s="1">
        <v>8.6920345711312202E-13</v>
      </c>
      <c r="Q50">
        <f>J50/E50</f>
        <v>2.0039335664335667</v>
      </c>
    </row>
    <row r="51" spans="1:17" hidden="1" x14ac:dyDescent="0.25">
      <c r="A51">
        <v>22</v>
      </c>
      <c r="B51" t="s">
        <v>17</v>
      </c>
      <c r="C51" t="s">
        <v>20</v>
      </c>
      <c r="D51">
        <v>2.3713023255813899</v>
      </c>
      <c r="E51">
        <v>2.2879999999999998</v>
      </c>
      <c r="F51">
        <v>0.38946694553084898</v>
      </c>
      <c r="G51">
        <v>1.6379999999999999</v>
      </c>
      <c r="H51">
        <v>3.4159999999999999</v>
      </c>
      <c r="I51">
        <v>9.5615869565217295</v>
      </c>
      <c r="J51">
        <v>9.6715</v>
      </c>
      <c r="K51">
        <v>2.9252642317581898</v>
      </c>
      <c r="L51">
        <v>4.1639999999999997</v>
      </c>
      <c r="M51">
        <v>17.995000000000001</v>
      </c>
      <c r="N51" s="1">
        <v>4.8179312395897302E-16</v>
      </c>
      <c r="O51" s="1">
        <v>8.6873744207959494E-15</v>
      </c>
      <c r="P51" s="1">
        <v>2.6498621817743501E-14</v>
      </c>
      <c r="Q51">
        <f>J51/E51</f>
        <v>4.2270541958041958</v>
      </c>
    </row>
    <row r="52" spans="1:17" hidden="1" x14ac:dyDescent="0.25">
      <c r="A52">
        <v>23</v>
      </c>
      <c r="B52" t="s">
        <v>17</v>
      </c>
      <c r="C52" t="s">
        <v>21</v>
      </c>
      <c r="D52">
        <v>2.3713023255813899</v>
      </c>
      <c r="E52">
        <v>2.2879999999999998</v>
      </c>
      <c r="F52">
        <v>0.38946694553084898</v>
      </c>
      <c r="G52">
        <v>1.6379999999999999</v>
      </c>
      <c r="H52">
        <v>3.4159999999999999</v>
      </c>
      <c r="I52">
        <v>8.3163255813953398</v>
      </c>
      <c r="J52">
        <v>7.9710000000000001</v>
      </c>
      <c r="K52">
        <v>2.0095733463424499</v>
      </c>
      <c r="L52">
        <v>3.073</v>
      </c>
      <c r="M52">
        <v>13.186999999999999</v>
      </c>
      <c r="N52" s="1">
        <v>1.6724692274172401E-15</v>
      </c>
      <c r="O52" s="1">
        <v>1.8397161501589699E-14</v>
      </c>
      <c r="P52" s="1">
        <v>9.1985807507948596E-14</v>
      </c>
      <c r="Q52">
        <f>J52/E52</f>
        <v>3.4838286713286717</v>
      </c>
    </row>
    <row r="53" spans="1:17" hidden="1" x14ac:dyDescent="0.25">
      <c r="A53">
        <v>24</v>
      </c>
      <c r="B53" t="s">
        <v>17</v>
      </c>
      <c r="C53" t="s">
        <v>22</v>
      </c>
      <c r="D53">
        <v>2.3713023255813899</v>
      </c>
      <c r="E53">
        <v>2.2879999999999998</v>
      </c>
      <c r="F53">
        <v>0.38946694553084898</v>
      </c>
      <c r="G53">
        <v>1.6379999999999999</v>
      </c>
      <c r="H53">
        <v>3.4159999999999999</v>
      </c>
      <c r="I53">
        <v>4.78884210526315</v>
      </c>
      <c r="J53">
        <v>4.7675000000000001</v>
      </c>
      <c r="K53">
        <v>1.0196208496780299</v>
      </c>
      <c r="L53">
        <v>2.6259999999999999</v>
      </c>
      <c r="M53">
        <v>6.7480000000000002</v>
      </c>
      <c r="N53" s="1">
        <v>4.1272415601590398E-14</v>
      </c>
      <c r="O53" s="1">
        <v>1.5531780739929E-13</v>
      </c>
      <c r="P53" s="1">
        <v>2.2699828580874701E-12</v>
      </c>
      <c r="Q53">
        <f>J53/E53</f>
        <v>2.0836975524475525</v>
      </c>
    </row>
    <row r="54" spans="1:17" hidden="1" x14ac:dyDescent="0.25">
      <c r="A54">
        <v>25</v>
      </c>
      <c r="B54" t="s">
        <v>17</v>
      </c>
      <c r="C54" t="s">
        <v>23</v>
      </c>
      <c r="D54">
        <v>2.3713023255813899</v>
      </c>
      <c r="E54">
        <v>2.2879999999999998</v>
      </c>
      <c r="F54">
        <v>0.38946694553084898</v>
      </c>
      <c r="G54">
        <v>1.6379999999999999</v>
      </c>
      <c r="H54">
        <v>3.4159999999999999</v>
      </c>
      <c r="I54">
        <v>4.8197435897435899</v>
      </c>
      <c r="J54">
        <v>4.6429999999999998</v>
      </c>
      <c r="K54">
        <v>0.872793148398884</v>
      </c>
      <c r="L54">
        <v>3.1739999999999999</v>
      </c>
      <c r="M54">
        <v>7.0510000000000002</v>
      </c>
      <c r="N54" s="1">
        <v>8.3253449288633299E-15</v>
      </c>
      <c r="O54" s="1">
        <v>4.5789397108748301E-14</v>
      </c>
      <c r="P54" s="1">
        <v>4.5789397108748301E-13</v>
      </c>
      <c r="Q54">
        <f>J54/E54</f>
        <v>2.0292832167832167</v>
      </c>
    </row>
    <row r="55" spans="1:17" x14ac:dyDescent="0.25">
      <c r="A55">
        <v>26</v>
      </c>
      <c r="B55" t="s">
        <v>17</v>
      </c>
      <c r="C55" t="s">
        <v>24</v>
      </c>
      <c r="D55">
        <v>2.3713023255813899</v>
      </c>
      <c r="E55">
        <v>2.2879999999999998</v>
      </c>
      <c r="F55">
        <v>0.38946694553084898</v>
      </c>
      <c r="G55">
        <v>1.6379999999999999</v>
      </c>
      <c r="H55">
        <v>3.4159999999999999</v>
      </c>
      <c r="I55">
        <v>8.0131086956521695</v>
      </c>
      <c r="J55">
        <v>6.9264999999999999</v>
      </c>
      <c r="K55">
        <v>4.4889866326290901</v>
      </c>
      <c r="L55">
        <v>0.75800000000000001</v>
      </c>
      <c r="M55">
        <v>19.222000000000001</v>
      </c>
      <c r="N55" s="1">
        <v>1.47214670990108E-10</v>
      </c>
      <c r="O55" s="1">
        <v>2.6118731949857899E-10</v>
      </c>
      <c r="P55" s="1">
        <v>8.0968069044559501E-9</v>
      </c>
      <c r="Q55">
        <f>J55/E55</f>
        <v>3.0273164335664338</v>
      </c>
    </row>
    <row r="56" spans="1:17" x14ac:dyDescent="0.25">
      <c r="A56">
        <v>27</v>
      </c>
      <c r="B56" t="s">
        <v>17</v>
      </c>
      <c r="C56" t="s">
        <v>25</v>
      </c>
      <c r="D56">
        <v>2.3713023255813899</v>
      </c>
      <c r="E56">
        <v>2.2879999999999998</v>
      </c>
      <c r="F56">
        <v>0.38946694553084898</v>
      </c>
      <c r="G56">
        <v>1.6379999999999999</v>
      </c>
      <c r="H56">
        <v>3.4159999999999999</v>
      </c>
      <c r="I56">
        <v>6.6071860465116199</v>
      </c>
      <c r="J56">
        <v>5.93</v>
      </c>
      <c r="K56">
        <v>3.4435247947679399</v>
      </c>
      <c r="L56">
        <v>1.8620000000000001</v>
      </c>
      <c r="M56">
        <v>14.862</v>
      </c>
      <c r="N56" s="1">
        <v>2.1865112235922501E-12</v>
      </c>
      <c r="O56" s="1">
        <v>5.2286137955466999E-12</v>
      </c>
      <c r="P56" s="1">
        <v>1.2025811729757401E-10</v>
      </c>
      <c r="Q56">
        <f>J56/E56</f>
        <v>2.5917832167832167</v>
      </c>
    </row>
  </sheetData>
  <autoFilter ref="A1:Q56" xr:uid="{F564C8AA-F738-4DA8-8AE9-31803F30B0A7}">
    <filterColumn colId="1">
      <filters>
        <filter val="CHM13"/>
        <filter val="HG002 mat"/>
        <filter val="HG002 pat"/>
        <filter val="I002C hap1"/>
        <filter val="I002C hap2"/>
        <filter val="RPE1 hap1"/>
        <filter val="RPE1 hap2"/>
        <filter val="YAO mat"/>
        <filter val="YAO pat"/>
      </filters>
    </filterColumn>
    <filterColumn colId="2">
      <filters>
        <filter val="H9 hap1"/>
        <filter val="H9 hap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26.02.13_telomere_length_pairwi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Medico</cp:lastModifiedBy>
  <dcterms:created xsi:type="dcterms:W3CDTF">2026-02-16T16:43:42Z</dcterms:created>
  <dcterms:modified xsi:type="dcterms:W3CDTF">2026-03-03T07:01:16Z</dcterms:modified>
</cp:coreProperties>
</file>